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emprince/Downloads/UNITN/Vechicle dynamics/Final report/matlab_code/exercise6/"/>
    </mc:Choice>
  </mc:AlternateContent>
  <xr:revisionPtr revIDLastSave="0" documentId="13_ncr:40009_{6D1C9447-83D2-2B45-8D75-5D5A1C11EF2B}" xr6:coauthVersionLast="47" xr6:coauthVersionMax="47" xr10:uidLastSave="{00000000-0000-0000-0000-000000000000}"/>
  <bookViews>
    <workbookView xWindow="380" yWindow="500" windowWidth="28040" windowHeight="16020" activeTab="1"/>
  </bookViews>
  <sheets>
    <sheet name="Sheet1" sheetId="2" r:id="rId1"/>
    <sheet name="error_speed_lookahead_table" sheetId="1" r:id="rId2"/>
  </sheets>
  <calcPr calcId="0"/>
  <pivotCaches>
    <pivotCache cacheId="11" r:id="rId3"/>
  </pivotCaches>
</workbook>
</file>

<file path=xl/sharedStrings.xml><?xml version="1.0" encoding="utf-8"?>
<sst xmlns="http://schemas.openxmlformats.org/spreadsheetml/2006/main" count="13" uniqueCount="11">
  <si>
    <t>u</t>
  </si>
  <si>
    <t>look_ahead</t>
  </si>
  <si>
    <t>reached_flg</t>
  </si>
  <si>
    <t>steps_to_finish</t>
  </si>
  <si>
    <t>max_error</t>
  </si>
  <si>
    <t>mean_error</t>
  </si>
  <si>
    <t>std_error</t>
  </si>
  <si>
    <t>Row Labels</t>
  </si>
  <si>
    <t>Grand Total</t>
  </si>
  <si>
    <t>Column Labels</t>
  </si>
  <si>
    <t>Average of max_error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</si>
</sst>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[error_speed_lookahead_table.xlsx]Sheet1!PivotTable2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</c:strCache>
            </c:strRef>
          </c:cat>
          <c:val>
            <c:numRef>
              <c:f>Sheet1!$B$5:$B$9</c:f>
              <c:numCache>
                <c:formatCode>General</c:formatCode>
                <c:ptCount val="4"/>
                <c:pt idx="0">
                  <c:v>0.22560312449140801</c:v>
                </c:pt>
                <c:pt idx="2">
                  <c:v>3.9029556972305599</c:v>
                </c:pt>
                <c:pt idx="3">
                  <c:v>14.157350276060599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5-BC4B-8AE9-C81FC44BF077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</c:strCache>
            </c:strRef>
          </c:cat>
          <c:val>
            <c:numRef>
              <c:f>Sheet1!$C$5:$C$9</c:f>
              <c:numCache>
                <c:formatCode>General</c:formatCode>
                <c:ptCount val="4"/>
                <c:pt idx="0">
                  <c:v>0.36199274294246803</c:v>
                </c:pt>
                <c:pt idx="1">
                  <c:v>9.0770083531116796</c:v>
                </c:pt>
                <c:pt idx="2">
                  <c:v>12.147818789656499</c:v>
                </c:pt>
                <c:pt idx="3">
                  <c:v>23.032893558663901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F5-BC4B-8AE9-C81FC44BF077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</c:strCache>
            </c:strRef>
          </c:cat>
          <c:val>
            <c:numRef>
              <c:f>Sheet1!$D$5:$D$9</c:f>
              <c:numCache>
                <c:formatCode>General</c:formatCode>
                <c:ptCount val="4"/>
                <c:pt idx="0">
                  <c:v>0.72890350848059404</c:v>
                </c:pt>
                <c:pt idx="1">
                  <c:v>1.42192804667934</c:v>
                </c:pt>
                <c:pt idx="2">
                  <c:v>8.6677227952742406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F5-BC4B-8AE9-C81FC44BF077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</c:strCache>
            </c:strRef>
          </c:cat>
          <c:val>
            <c:numRef>
              <c:f>Sheet1!$E$5:$E$9</c:f>
              <c:numCache>
                <c:formatCode>General</c:formatCode>
                <c:ptCount val="4"/>
                <c:pt idx="0">
                  <c:v>1.38785856692156</c:v>
                </c:pt>
                <c:pt idx="1">
                  <c:v>0.71880362132781705</c:v>
                </c:pt>
                <c:pt idx="2">
                  <c:v>6.9710583385295504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F5-BC4B-8AE9-C81FC44BF077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</c:strCache>
            </c:strRef>
          </c:cat>
          <c:val>
            <c:numRef>
              <c:f>Sheet1!$F$5:$F$9</c:f>
              <c:numCache>
                <c:formatCode>General</c:formatCode>
                <c:ptCount val="4"/>
                <c:pt idx="0">
                  <c:v>2.2281112160846699</c:v>
                </c:pt>
                <c:pt idx="1">
                  <c:v>1.5934788506745401</c:v>
                </c:pt>
                <c:pt idx="2">
                  <c:v>10.368141285168001</c:v>
                </c:pt>
                <c:pt idx="3">
                  <c:v>48.508533346814502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F5-BC4B-8AE9-C81FC44BF077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</c:strCache>
            </c:strRef>
          </c:cat>
          <c:val>
            <c:numRef>
              <c:f>Sheet1!$G$5:$G$9</c:f>
              <c:numCache>
                <c:formatCode>General</c:formatCode>
                <c:ptCount val="4"/>
                <c:pt idx="0">
                  <c:v>3.2520730127642898</c:v>
                </c:pt>
                <c:pt idx="1">
                  <c:v>2.8103017296134301</c:v>
                </c:pt>
                <c:pt idx="2">
                  <c:v>13.422893532585</c:v>
                </c:pt>
                <c:pt idx="3">
                  <c:v>50.4789414134206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F5-BC4B-8AE9-C81FC44BF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6850703"/>
        <c:axId val="726819727"/>
      </c:barChart>
      <c:catAx>
        <c:axId val="72685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19727"/>
        <c:crosses val="autoZero"/>
        <c:auto val="1"/>
        <c:lblAlgn val="ctr"/>
        <c:lblOffset val="100"/>
        <c:noMultiLvlLbl val="0"/>
      </c:catAx>
      <c:valAx>
        <c:axId val="72681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5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127000</xdr:colOff>
      <xdr:row>9</xdr:row>
      <xdr:rowOff>120650</xdr:rowOff>
    </xdr:from>
    <xdr:to>
      <xdr:col>9</xdr:col>
      <xdr:colOff>1371600</xdr:colOff>
      <xdr:row>33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274900-158D-0E43-BA56-02CF0A218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 Office User" refreshedDate="44639.712663194441" createdVersion="7" refreshedVersion="7" minRefreshableVersion="3" recordCount="26">
  <cacheSource type="worksheet">
    <worksheetSource name="Table1"/>
  </cacheSource>
  <cacheFields count="7">
    <cacheField name="u" numFmtId="0">
      <sharedItems containsSemiMixedTypes="0" containsString="0" containsNumber="1" containsInteger="1" minValue="40" maxValue="80" count="5">
        <n v="40"/>
        <n v="50"/>
        <n v="60"/>
        <n v="70"/>
        <n v="80"/>
      </sharedItems>
    </cacheField>
    <cacheField name="look_ahead" numFmtId="0">
      <sharedItems containsSemiMixedTypes="0" containsString="0" containsNumber="1" containsInteger="1" minValue="5" maxValue="30" count="6">
        <n v="5"/>
        <n v="10"/>
        <n v="15"/>
        <n v="20"/>
        <n v="25"/>
        <n v="30"/>
      </sharedItems>
    </cacheField>
    <cacheField name="reached_flg" numFmtId="0">
      <sharedItems containsSemiMixedTypes="0" containsString="0" containsNumber="1" containsInteger="1" minValue="0" maxValue="1" count="2">
        <n v="1"/>
        <n v="0"/>
      </sharedItems>
    </cacheField>
    <cacheField name="steps_to_finish" numFmtId="0">
      <sharedItems containsSemiMixedTypes="0" containsString="0" containsNumber="1" containsInteger="1" minValue="0" maxValue="14902" count="22">
        <n v="5685"/>
        <n v="5688"/>
        <n v="5662"/>
        <n v="5629"/>
        <n v="5588"/>
        <n v="5545"/>
        <n v="0"/>
        <n v="6185"/>
        <n v="4624"/>
        <n v="4546"/>
        <n v="4495"/>
        <n v="4451"/>
        <n v="8881"/>
        <n v="7139"/>
        <n v="8436"/>
        <n v="3875"/>
        <n v="3780"/>
        <n v="3728"/>
        <n v="9997"/>
        <n v="14902"/>
        <n v="3259"/>
        <n v="3212"/>
      </sharedItems>
    </cacheField>
    <cacheField name="max_error" numFmtId="0">
      <sharedItems containsSemiMixedTypes="0" containsString="0" containsNumber="1" minValue="0.22560312449140801" maxValue="274.33364014623999" count="26">
        <n v="0.22560312449140801"/>
        <n v="0.36199274294246803"/>
        <n v="0.72890350848059404"/>
        <n v="1.38785856692156"/>
        <n v="2.2281112160846699"/>
        <n v="3.2520730127642898"/>
        <n v="4.2608875884671802"/>
        <n v="9.0770083531116796"/>
        <n v="1.42192804667934"/>
        <n v="0.71880362132781705"/>
        <n v="1.5934788506745401"/>
        <n v="2.8103017296134301"/>
        <n v="3.9029556972305599"/>
        <n v="12.147818789656499"/>
        <n v="8.6677227952742406"/>
        <n v="6.9710583385295504"/>
        <n v="10.368141285168001"/>
        <n v="13.422893532585"/>
        <n v="14.157350276060599"/>
        <n v="23.032893558663901"/>
        <n v="43.370141073376203"/>
        <n v="48.508533346814502"/>
        <n v="50.4789414134206"/>
        <n v="272.40014847088003"/>
        <n v="274.33364014623999"/>
        <n v="271.294457765966"/>
      </sharedItems>
    </cacheField>
    <cacheField name="mean_error" numFmtId="0">
      <sharedItems containsSemiMixedTypes="0" containsString="0" containsNumber="1" minValue="5.1926324708586699E-2" maxValue="119.10329850905801"/>
    </cacheField>
    <cacheField name="std_error" numFmtId="0">
      <sharedItems containsSemiMixedTypes="0" containsString="0" containsNumber="1" minValue="4.56739858753571E-2" maxValue="83.7863483770901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">
  <r>
    <x v="0"/>
    <x v="0"/>
    <x v="0"/>
    <x v="0"/>
    <x v="0"/>
    <n v="5.1926324708586699E-2"/>
    <n v="4.56739858753571E-2"/>
  </r>
  <r>
    <x v="0"/>
    <x v="1"/>
    <x v="0"/>
    <x v="1"/>
    <x v="1"/>
    <n v="6.1539238521466803E-2"/>
    <n v="8.0201993910873903E-2"/>
  </r>
  <r>
    <x v="0"/>
    <x v="2"/>
    <x v="0"/>
    <x v="2"/>
    <x v="2"/>
    <n v="0.104089635695198"/>
    <n v="0.16118616416913401"/>
  </r>
  <r>
    <x v="0"/>
    <x v="3"/>
    <x v="0"/>
    <x v="3"/>
    <x v="3"/>
    <n v="0.18210259443347401"/>
    <n v="0.31546690828173801"/>
  </r>
  <r>
    <x v="0"/>
    <x v="4"/>
    <x v="0"/>
    <x v="4"/>
    <x v="4"/>
    <n v="0.25751401787154599"/>
    <n v="0.49242375162250401"/>
  </r>
  <r>
    <x v="0"/>
    <x v="5"/>
    <x v="0"/>
    <x v="5"/>
    <x v="5"/>
    <n v="0.35514049738124098"/>
    <n v="0.73154726367130096"/>
  </r>
  <r>
    <x v="1"/>
    <x v="0"/>
    <x v="1"/>
    <x v="6"/>
    <x v="6"/>
    <n v="0.51447511488768405"/>
    <n v="0.92644514156671698"/>
  </r>
  <r>
    <x v="1"/>
    <x v="1"/>
    <x v="0"/>
    <x v="7"/>
    <x v="7"/>
    <n v="2.3411532404714102"/>
    <n v="2.34104241003637"/>
  </r>
  <r>
    <x v="1"/>
    <x v="2"/>
    <x v="0"/>
    <x v="8"/>
    <x v="8"/>
    <n v="0.171926866112694"/>
    <n v="0.29635788855520001"/>
  </r>
  <r>
    <x v="1"/>
    <x v="3"/>
    <x v="0"/>
    <x v="9"/>
    <x v="9"/>
    <n v="0.10587498318764001"/>
    <n v="0.16450786845712301"/>
  </r>
  <r>
    <x v="1"/>
    <x v="4"/>
    <x v="0"/>
    <x v="10"/>
    <x v="10"/>
    <n v="0.149247045333218"/>
    <n v="0.31380034979868499"/>
  </r>
  <r>
    <x v="1"/>
    <x v="5"/>
    <x v="0"/>
    <x v="11"/>
    <x v="11"/>
    <n v="0.23467195978897301"/>
    <n v="0.56738753045642998"/>
  </r>
  <r>
    <x v="2"/>
    <x v="0"/>
    <x v="0"/>
    <x v="12"/>
    <x v="12"/>
    <n v="1.01474346701944"/>
    <n v="1.0839245132620901"/>
  </r>
  <r>
    <x v="2"/>
    <x v="1"/>
    <x v="0"/>
    <x v="13"/>
    <x v="13"/>
    <n v="3.9824155357634399"/>
    <n v="3.7071350015670999"/>
  </r>
  <r>
    <x v="2"/>
    <x v="2"/>
    <x v="0"/>
    <x v="14"/>
    <x v="14"/>
    <n v="2.87502000051105"/>
    <n v="2.3511233272851499"/>
  </r>
  <r>
    <x v="2"/>
    <x v="3"/>
    <x v="0"/>
    <x v="15"/>
    <x v="15"/>
    <n v="0.56268910445296605"/>
    <n v="0.93996148669649005"/>
  </r>
  <r>
    <x v="2"/>
    <x v="4"/>
    <x v="0"/>
    <x v="16"/>
    <x v="16"/>
    <n v="0.56382652699191504"/>
    <n v="1.4156626120778899"/>
  </r>
  <r>
    <x v="2"/>
    <x v="5"/>
    <x v="0"/>
    <x v="17"/>
    <x v="17"/>
    <n v="0.83021214821801503"/>
    <n v="2.12209004958904"/>
  </r>
  <r>
    <x v="3"/>
    <x v="0"/>
    <x v="0"/>
    <x v="18"/>
    <x v="18"/>
    <n v="3.8136429126476599"/>
    <n v="4.9962696046316104"/>
  </r>
  <r>
    <x v="3"/>
    <x v="1"/>
    <x v="0"/>
    <x v="19"/>
    <x v="19"/>
    <n v="10.3311302029188"/>
    <n v="9.1288669339255204"/>
  </r>
  <r>
    <x v="3"/>
    <x v="3"/>
    <x v="1"/>
    <x v="6"/>
    <x v="20"/>
    <n v="4.8045245540568704"/>
    <n v="8.7355707935371107"/>
  </r>
  <r>
    <x v="3"/>
    <x v="4"/>
    <x v="0"/>
    <x v="20"/>
    <x v="21"/>
    <n v="4.9239974018495198"/>
    <n v="10.4181552637961"/>
  </r>
  <r>
    <x v="3"/>
    <x v="5"/>
    <x v="0"/>
    <x v="21"/>
    <x v="22"/>
    <n v="5.1820630107405501"/>
    <n v="11.072054265472399"/>
  </r>
  <r>
    <x v="4"/>
    <x v="3"/>
    <x v="1"/>
    <x v="6"/>
    <x v="23"/>
    <n v="117.383420687734"/>
    <n v="83.142235206489005"/>
  </r>
  <r>
    <x v="4"/>
    <x v="4"/>
    <x v="1"/>
    <x v="6"/>
    <x v="24"/>
    <n v="119.10329850905801"/>
    <n v="83.786348377090107"/>
  </r>
  <r>
    <x v="4"/>
    <x v="5"/>
    <x v="1"/>
    <x v="6"/>
    <x v="25"/>
    <n v="117.576736777905"/>
    <n v="82.8485097308720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H9" firstHeaderRow="1" firstDataRow="2" firstDataCol="1" rowPageCount="1" colPageCount="1"/>
  <pivotFields count="7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showAll="0">
      <items count="23">
        <item x="6"/>
        <item x="21"/>
        <item x="20"/>
        <item x="17"/>
        <item x="16"/>
        <item x="15"/>
        <item x="11"/>
        <item x="10"/>
        <item x="9"/>
        <item x="8"/>
        <item x="5"/>
        <item x="4"/>
        <item x="3"/>
        <item x="2"/>
        <item x="0"/>
        <item x="1"/>
        <item x="7"/>
        <item x="13"/>
        <item x="14"/>
        <item x="12"/>
        <item x="18"/>
        <item x="19"/>
        <item t="default"/>
      </items>
    </pivotField>
    <pivotField dataField="1" showAll="0">
      <items count="27">
        <item x="0"/>
        <item x="1"/>
        <item x="9"/>
        <item x="2"/>
        <item x="3"/>
        <item x="8"/>
        <item x="10"/>
        <item x="4"/>
        <item x="11"/>
        <item x="5"/>
        <item x="12"/>
        <item x="6"/>
        <item x="15"/>
        <item x="14"/>
        <item x="7"/>
        <item x="16"/>
        <item x="13"/>
        <item x="17"/>
        <item x="18"/>
        <item x="19"/>
        <item x="20"/>
        <item x="21"/>
        <item x="22"/>
        <item x="25"/>
        <item x="23"/>
        <item x="24"/>
        <item t="default"/>
      </items>
    </pivotField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2" hier="-1"/>
  </pageFields>
  <dataFields count="1">
    <dataField name="Average of max_error" fld="4" subtotal="average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G39" totalsRowShown="0">
  <autoFilter ref="A1:G39"/>
  <tableColumns count="7">
    <tableColumn id="1" name="u"/>
    <tableColumn id="2" name="look_ahead"/>
    <tableColumn id="3" name="reached_flg"/>
    <tableColumn id="4" name="steps_to_finish"/>
    <tableColumn id="5" name="max_error"/>
    <tableColumn id="6" name="mean_error"/>
    <tableColumn id="7" name="std_err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C18" sqref="C18"/>
    </sheetView>
  </sheetViews>
  <sheetFormatPr baseColWidth="10" defaultRowHeight="16" x14ac:dyDescent="0.2"/>
  <cols>
    <col min="1" max="1" width="19.5" bestFit="1" customWidth="1"/>
    <col min="2" max="2" width="15.5" bestFit="1" customWidth="1"/>
    <col min="3" max="8" width="12.1640625" bestFit="1" customWidth="1"/>
    <col min="9" max="9" width="19.5" bestFit="1" customWidth="1"/>
    <col min="10" max="10" width="23.5" bestFit="1" customWidth="1"/>
    <col min="11" max="11" width="19.5" bestFit="1" customWidth="1"/>
    <col min="12" max="12" width="23.5" bestFit="1" customWidth="1"/>
    <col min="13" max="13" width="19.5" bestFit="1" customWidth="1"/>
    <col min="14" max="14" width="28.33203125" bestFit="1" customWidth="1"/>
    <col min="15" max="15" width="24.33203125" bestFit="1" customWidth="1"/>
  </cols>
  <sheetData>
    <row r="1" spans="1:8" x14ac:dyDescent="0.2">
      <c r="A1" s="1" t="s">
        <v>2</v>
      </c>
      <c r="B1" s="2">
        <v>1</v>
      </c>
    </row>
    <row r="3" spans="1:8" x14ac:dyDescent="0.2">
      <c r="A3" s="1" t="s">
        <v>10</v>
      </c>
      <c r="B3" s="1" t="s">
        <v>9</v>
      </c>
    </row>
    <row r="4" spans="1:8" x14ac:dyDescent="0.2">
      <c r="A4" s="1" t="s">
        <v>7</v>
      </c>
      <c r="B4">
        <v>5</v>
      </c>
      <c r="C4">
        <v>10</v>
      </c>
      <c r="D4">
        <v>15</v>
      </c>
      <c r="E4">
        <v>20</v>
      </c>
      <c r="F4">
        <v>25</v>
      </c>
      <c r="G4">
        <v>30</v>
      </c>
      <c r="H4" t="s">
        <v>8</v>
      </c>
    </row>
    <row r="5" spans="1:8" x14ac:dyDescent="0.2">
      <c r="A5" s="2">
        <v>40</v>
      </c>
      <c r="B5" s="3">
        <v>0.22560312449140801</v>
      </c>
      <c r="C5" s="3">
        <v>0.36199274294246803</v>
      </c>
      <c r="D5" s="3">
        <v>0.72890350848059404</v>
      </c>
      <c r="E5" s="3">
        <v>1.38785856692156</v>
      </c>
      <c r="F5" s="3">
        <v>2.2281112160846699</v>
      </c>
      <c r="G5" s="3">
        <v>3.2520730127642898</v>
      </c>
      <c r="H5" s="3">
        <v>1.3640903619474984</v>
      </c>
    </row>
    <row r="6" spans="1:8" x14ac:dyDescent="0.2">
      <c r="A6" s="2">
        <v>50</v>
      </c>
      <c r="B6" s="3"/>
      <c r="C6" s="3">
        <v>9.0770083531116796</v>
      </c>
      <c r="D6" s="3">
        <v>1.42192804667934</v>
      </c>
      <c r="E6" s="3">
        <v>0.71880362132781705</v>
      </c>
      <c r="F6" s="3">
        <v>1.5934788506745401</v>
      </c>
      <c r="G6" s="3">
        <v>2.8103017296134301</v>
      </c>
      <c r="H6" s="3">
        <v>3.1243041202813613</v>
      </c>
    </row>
    <row r="7" spans="1:8" x14ac:dyDescent="0.2">
      <c r="A7" s="2">
        <v>60</v>
      </c>
      <c r="B7" s="3">
        <v>3.9029556972305599</v>
      </c>
      <c r="C7" s="3">
        <v>12.147818789656499</v>
      </c>
      <c r="D7" s="3">
        <v>8.6677227952742406</v>
      </c>
      <c r="E7" s="3">
        <v>6.9710583385295504</v>
      </c>
      <c r="F7" s="3">
        <v>10.368141285168001</v>
      </c>
      <c r="G7" s="3">
        <v>13.422893532585</v>
      </c>
      <c r="H7" s="3">
        <v>9.2467650730739752</v>
      </c>
    </row>
    <row r="8" spans="1:8" x14ac:dyDescent="0.2">
      <c r="A8" s="2">
        <v>70</v>
      </c>
      <c r="B8" s="3">
        <v>14.157350276060599</v>
      </c>
      <c r="C8" s="3">
        <v>23.032893558663901</v>
      </c>
      <c r="D8" s="3"/>
      <c r="E8" s="3"/>
      <c r="F8" s="3">
        <v>48.508533346814502</v>
      </c>
      <c r="G8" s="3">
        <v>50.4789414134206</v>
      </c>
      <c r="H8" s="3">
        <v>34.0444296487399</v>
      </c>
    </row>
    <row r="9" spans="1:8" x14ac:dyDescent="0.2">
      <c r="A9" s="2" t="s">
        <v>8</v>
      </c>
      <c r="B9" s="3">
        <v>6.095303032594189</v>
      </c>
      <c r="C9" s="3">
        <v>11.154928361093637</v>
      </c>
      <c r="D9" s="3">
        <v>3.6061847834780583</v>
      </c>
      <c r="E9" s="3">
        <v>3.0259068422596425</v>
      </c>
      <c r="F9" s="3">
        <v>15.674566174685427</v>
      </c>
      <c r="G9" s="3">
        <v>17.49105242209583</v>
      </c>
      <c r="H9" s="3">
        <v>10.260208181261678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>
      <selection activeCell="J43" sqref="J43"/>
    </sheetView>
  </sheetViews>
  <sheetFormatPr baseColWidth="10" defaultRowHeight="16" x14ac:dyDescent="0.2"/>
  <cols>
    <col min="2" max="2" width="13" customWidth="1"/>
    <col min="3" max="3" width="13.1640625" customWidth="1"/>
    <col min="4" max="4" width="16" customWidth="1"/>
    <col min="5" max="5" width="12.1640625" customWidth="1"/>
    <col min="6" max="6" width="13.1640625" customWidth="1"/>
    <col min="7" max="7" width="1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20</v>
      </c>
      <c r="B2">
        <v>5</v>
      </c>
      <c r="C2">
        <v>1</v>
      </c>
      <c r="D2">
        <v>11321</v>
      </c>
      <c r="E2">
        <v>0.212718999117496</v>
      </c>
      <c r="F2">
        <v>5.4068213984141099E-2</v>
      </c>
      <c r="G2">
        <v>4.9681011826752303E-2</v>
      </c>
    </row>
    <row r="3" spans="1:7" x14ac:dyDescent="0.2">
      <c r="A3">
        <v>20</v>
      </c>
      <c r="B3">
        <v>10</v>
      </c>
      <c r="C3">
        <v>1</v>
      </c>
      <c r="D3">
        <v>11288</v>
      </c>
      <c r="E3">
        <v>0.48179411300074199</v>
      </c>
      <c r="F3">
        <v>0.124076869047569</v>
      </c>
      <c r="G3">
        <v>0.146505997534465</v>
      </c>
    </row>
    <row r="4" spans="1:7" x14ac:dyDescent="0.2">
      <c r="A4">
        <v>20</v>
      </c>
      <c r="B4">
        <v>15</v>
      </c>
      <c r="C4">
        <v>1</v>
      </c>
      <c r="D4">
        <v>11238</v>
      </c>
      <c r="E4">
        <v>1.02593644208543</v>
      </c>
      <c r="F4">
        <v>0.25670520504492</v>
      </c>
      <c r="G4">
        <v>0.30754243312321999</v>
      </c>
    </row>
    <row r="5" spans="1:7" x14ac:dyDescent="0.2">
      <c r="A5">
        <v>20</v>
      </c>
      <c r="B5">
        <v>20</v>
      </c>
      <c r="C5">
        <v>1</v>
      </c>
      <c r="D5">
        <v>11188</v>
      </c>
      <c r="E5">
        <v>1.7265193596961901</v>
      </c>
      <c r="F5">
        <v>0.43226397151157597</v>
      </c>
      <c r="G5">
        <v>0.49030874020063198</v>
      </c>
    </row>
    <row r="6" spans="1:7" x14ac:dyDescent="0.2">
      <c r="A6">
        <v>20</v>
      </c>
      <c r="B6">
        <v>25</v>
      </c>
      <c r="C6">
        <v>1</v>
      </c>
      <c r="D6">
        <v>11127</v>
      </c>
      <c r="E6">
        <v>2.5344896571404498</v>
      </c>
      <c r="F6">
        <v>0.59492840248191903</v>
      </c>
      <c r="G6">
        <v>0.70444560273968104</v>
      </c>
    </row>
    <row r="7" spans="1:7" x14ac:dyDescent="0.2">
      <c r="A7">
        <v>20</v>
      </c>
      <c r="B7">
        <v>30</v>
      </c>
      <c r="C7">
        <v>1</v>
      </c>
      <c r="D7">
        <v>11060</v>
      </c>
      <c r="E7">
        <v>3.4598633201029001</v>
      </c>
      <c r="F7">
        <v>0.78800869153535902</v>
      </c>
      <c r="G7">
        <v>0.98417707772960294</v>
      </c>
    </row>
    <row r="8" spans="1:7" x14ac:dyDescent="0.2">
      <c r="A8">
        <v>30</v>
      </c>
      <c r="B8">
        <v>5</v>
      </c>
      <c r="C8">
        <v>1</v>
      </c>
      <c r="D8">
        <v>7555</v>
      </c>
      <c r="E8">
        <v>0.16371527104755099</v>
      </c>
      <c r="F8">
        <v>3.9996635092484301E-2</v>
      </c>
      <c r="G8">
        <v>3.4436055839714E-2</v>
      </c>
    </row>
    <row r="9" spans="1:7" x14ac:dyDescent="0.2">
      <c r="A9">
        <v>30</v>
      </c>
      <c r="B9">
        <v>10</v>
      </c>
      <c r="C9">
        <v>1</v>
      </c>
      <c r="D9">
        <v>7541</v>
      </c>
      <c r="E9">
        <v>0.43191924348816402</v>
      </c>
      <c r="F9">
        <v>8.2324455200595406E-2</v>
      </c>
      <c r="G9">
        <v>0.10794911503221299</v>
      </c>
    </row>
    <row r="10" spans="1:7" x14ac:dyDescent="0.2">
      <c r="A10">
        <v>30</v>
      </c>
      <c r="B10">
        <v>15</v>
      </c>
      <c r="C10">
        <v>1</v>
      </c>
      <c r="D10">
        <v>7509</v>
      </c>
      <c r="E10">
        <v>0.94125492536998301</v>
      </c>
      <c r="F10">
        <v>0.16330455424068399</v>
      </c>
      <c r="G10">
        <v>0.24428863321491101</v>
      </c>
    </row>
    <row r="11" spans="1:7" x14ac:dyDescent="0.2">
      <c r="A11">
        <v>30</v>
      </c>
      <c r="B11">
        <v>20</v>
      </c>
      <c r="C11">
        <v>1</v>
      </c>
      <c r="D11">
        <v>7474</v>
      </c>
      <c r="E11">
        <v>1.6328008568617101</v>
      </c>
      <c r="F11">
        <v>0.27638301996965198</v>
      </c>
      <c r="G11">
        <v>0.416023643341841</v>
      </c>
    </row>
    <row r="12" spans="1:7" x14ac:dyDescent="0.2">
      <c r="A12">
        <v>30</v>
      </c>
      <c r="B12">
        <v>25</v>
      </c>
      <c r="C12">
        <v>1</v>
      </c>
      <c r="D12">
        <v>7429</v>
      </c>
      <c r="E12">
        <v>2.4545598772146899</v>
      </c>
      <c r="F12">
        <v>0.38264371489044002</v>
      </c>
      <c r="G12">
        <v>0.60897550261920796</v>
      </c>
    </row>
    <row r="13" spans="1:7" x14ac:dyDescent="0.2">
      <c r="A13">
        <v>30</v>
      </c>
      <c r="B13">
        <v>30</v>
      </c>
      <c r="C13">
        <v>1</v>
      </c>
      <c r="D13">
        <v>7381</v>
      </c>
      <c r="E13">
        <v>3.4086700414245801</v>
      </c>
      <c r="F13">
        <v>0.51204503257714395</v>
      </c>
      <c r="G13">
        <v>0.86065695466569503</v>
      </c>
    </row>
    <row r="14" spans="1:7" x14ac:dyDescent="0.2">
      <c r="A14">
        <v>40</v>
      </c>
      <c r="B14">
        <v>5</v>
      </c>
      <c r="C14">
        <v>1</v>
      </c>
      <c r="D14">
        <v>5685</v>
      </c>
      <c r="E14">
        <v>0.22560312449140801</v>
      </c>
      <c r="F14">
        <v>5.1926324708586699E-2</v>
      </c>
      <c r="G14">
        <v>4.56739858753571E-2</v>
      </c>
    </row>
    <row r="15" spans="1:7" x14ac:dyDescent="0.2">
      <c r="A15">
        <v>40</v>
      </c>
      <c r="B15">
        <v>10</v>
      </c>
      <c r="C15">
        <v>1</v>
      </c>
      <c r="D15">
        <v>5688</v>
      </c>
      <c r="E15">
        <v>0.36199274294246803</v>
      </c>
      <c r="F15">
        <v>6.1539238521466803E-2</v>
      </c>
      <c r="G15">
        <v>8.0201993910873903E-2</v>
      </c>
    </row>
    <row r="16" spans="1:7" x14ac:dyDescent="0.2">
      <c r="A16">
        <v>40</v>
      </c>
      <c r="B16">
        <v>15</v>
      </c>
      <c r="C16">
        <v>1</v>
      </c>
      <c r="D16">
        <v>5662</v>
      </c>
      <c r="E16">
        <v>0.72890350848059404</v>
      </c>
      <c r="F16">
        <v>0.104089635695198</v>
      </c>
      <c r="G16">
        <v>0.16118616416913401</v>
      </c>
    </row>
    <row r="17" spans="1:7" x14ac:dyDescent="0.2">
      <c r="A17">
        <v>40</v>
      </c>
      <c r="B17">
        <v>20</v>
      </c>
      <c r="C17">
        <v>1</v>
      </c>
      <c r="D17">
        <v>5629</v>
      </c>
      <c r="E17">
        <v>1.38785856692156</v>
      </c>
      <c r="F17">
        <v>0.18210259443347401</v>
      </c>
      <c r="G17">
        <v>0.31546690828173801</v>
      </c>
    </row>
    <row r="18" spans="1:7" x14ac:dyDescent="0.2">
      <c r="A18">
        <v>40</v>
      </c>
      <c r="B18">
        <v>25</v>
      </c>
      <c r="C18">
        <v>1</v>
      </c>
      <c r="D18">
        <v>5588</v>
      </c>
      <c r="E18">
        <v>2.2281112160846699</v>
      </c>
      <c r="F18">
        <v>0.25751401787154599</v>
      </c>
      <c r="G18">
        <v>0.49242375162250401</v>
      </c>
    </row>
    <row r="19" spans="1:7" x14ac:dyDescent="0.2">
      <c r="A19">
        <v>40</v>
      </c>
      <c r="B19">
        <v>30</v>
      </c>
      <c r="C19">
        <v>1</v>
      </c>
      <c r="D19">
        <v>5545</v>
      </c>
      <c r="E19">
        <v>3.2520730127642898</v>
      </c>
      <c r="F19">
        <v>0.35514049738124098</v>
      </c>
      <c r="G19">
        <v>0.73154726367130096</v>
      </c>
    </row>
    <row r="20" spans="1:7" x14ac:dyDescent="0.2">
      <c r="A20">
        <v>50</v>
      </c>
      <c r="B20">
        <v>5</v>
      </c>
      <c r="C20">
        <v>0</v>
      </c>
      <c r="D20">
        <v>0</v>
      </c>
      <c r="E20">
        <v>4.2608875884671802</v>
      </c>
      <c r="F20">
        <v>0.51447511488768405</v>
      </c>
      <c r="G20">
        <v>0.92644514156671698</v>
      </c>
    </row>
    <row r="21" spans="1:7" x14ac:dyDescent="0.2">
      <c r="A21">
        <v>50</v>
      </c>
      <c r="B21">
        <v>10</v>
      </c>
      <c r="C21">
        <v>0</v>
      </c>
      <c r="D21">
        <v>0</v>
      </c>
      <c r="E21">
        <v>9.0770083531116796</v>
      </c>
      <c r="F21">
        <v>2.3411532404714102</v>
      </c>
      <c r="G21">
        <v>2.34104241003637</v>
      </c>
    </row>
    <row r="22" spans="1:7" x14ac:dyDescent="0.2">
      <c r="A22">
        <v>50</v>
      </c>
      <c r="B22">
        <v>15</v>
      </c>
      <c r="C22">
        <v>1</v>
      </c>
      <c r="D22">
        <v>4624</v>
      </c>
      <c r="E22">
        <v>1.42192804667934</v>
      </c>
      <c r="F22">
        <v>0.171926866112694</v>
      </c>
      <c r="G22">
        <v>0.29635788855520001</v>
      </c>
    </row>
    <row r="23" spans="1:7" x14ac:dyDescent="0.2">
      <c r="A23">
        <v>50</v>
      </c>
      <c r="B23">
        <v>20</v>
      </c>
      <c r="C23">
        <v>1</v>
      </c>
      <c r="D23">
        <v>4546</v>
      </c>
      <c r="E23">
        <v>0.71880362132781705</v>
      </c>
      <c r="F23">
        <v>0.10587498318764001</v>
      </c>
      <c r="G23">
        <v>0.16450786845712301</v>
      </c>
    </row>
    <row r="24" spans="1:7" x14ac:dyDescent="0.2">
      <c r="A24">
        <v>50</v>
      </c>
      <c r="B24">
        <v>25</v>
      </c>
      <c r="C24">
        <v>1</v>
      </c>
      <c r="D24">
        <v>4495</v>
      </c>
      <c r="E24">
        <v>1.5934788506745401</v>
      </c>
      <c r="F24">
        <v>0.149247045333218</v>
      </c>
      <c r="G24">
        <v>0.31380034979868499</v>
      </c>
    </row>
    <row r="25" spans="1:7" x14ac:dyDescent="0.2">
      <c r="A25">
        <v>50</v>
      </c>
      <c r="B25">
        <v>30</v>
      </c>
      <c r="C25">
        <v>1</v>
      </c>
      <c r="D25">
        <v>4451</v>
      </c>
      <c r="E25">
        <v>2.8103017296134301</v>
      </c>
      <c r="F25">
        <v>0.23467195978897301</v>
      </c>
      <c r="G25">
        <v>0.56738753045642998</v>
      </c>
    </row>
    <row r="26" spans="1:7" x14ac:dyDescent="0.2">
      <c r="A26">
        <v>60</v>
      </c>
      <c r="B26">
        <v>5</v>
      </c>
      <c r="C26">
        <v>1</v>
      </c>
      <c r="D26">
        <v>8881</v>
      </c>
      <c r="E26">
        <v>3.9029556972305599</v>
      </c>
      <c r="F26">
        <v>1.01474346701944</v>
      </c>
      <c r="G26">
        <v>1.0839245132620901</v>
      </c>
    </row>
    <row r="27" spans="1:7" x14ac:dyDescent="0.2">
      <c r="A27">
        <v>60</v>
      </c>
      <c r="B27">
        <v>10</v>
      </c>
      <c r="C27">
        <v>1</v>
      </c>
      <c r="D27">
        <v>7139</v>
      </c>
      <c r="E27">
        <v>12.147818789656499</v>
      </c>
      <c r="F27">
        <v>3.9824155357634399</v>
      </c>
      <c r="G27">
        <v>3.7071350015670999</v>
      </c>
    </row>
    <row r="28" spans="1:7" x14ac:dyDescent="0.2">
      <c r="A28">
        <v>60</v>
      </c>
      <c r="B28">
        <v>15</v>
      </c>
      <c r="C28">
        <v>0</v>
      </c>
      <c r="D28">
        <v>0</v>
      </c>
      <c r="E28">
        <v>8.6677227952742406</v>
      </c>
      <c r="F28">
        <v>2.87502000051105</v>
      </c>
      <c r="G28">
        <v>2.3511233272851499</v>
      </c>
    </row>
    <row r="29" spans="1:7" x14ac:dyDescent="0.2">
      <c r="A29">
        <v>60</v>
      </c>
      <c r="B29">
        <v>20</v>
      </c>
      <c r="C29">
        <v>1</v>
      </c>
      <c r="D29">
        <v>3875</v>
      </c>
      <c r="E29">
        <v>6.9710583385295504</v>
      </c>
      <c r="F29">
        <v>0.56268910445296605</v>
      </c>
      <c r="G29">
        <v>0.93996148669649005</v>
      </c>
    </row>
    <row r="30" spans="1:7" x14ac:dyDescent="0.2">
      <c r="A30">
        <v>60</v>
      </c>
      <c r="B30">
        <v>25</v>
      </c>
      <c r="C30">
        <v>1</v>
      </c>
      <c r="D30">
        <v>3780</v>
      </c>
      <c r="E30">
        <v>10.368141285168001</v>
      </c>
      <c r="F30">
        <v>0.56382652699191504</v>
      </c>
      <c r="G30">
        <v>1.4156626120778899</v>
      </c>
    </row>
    <row r="31" spans="1:7" x14ac:dyDescent="0.2">
      <c r="A31">
        <v>60</v>
      </c>
      <c r="B31">
        <v>30</v>
      </c>
      <c r="C31">
        <v>1</v>
      </c>
      <c r="D31">
        <v>3728</v>
      </c>
      <c r="E31">
        <v>13.422893532585</v>
      </c>
      <c r="F31">
        <v>0.83021214821801503</v>
      </c>
      <c r="G31">
        <v>2.12209004958904</v>
      </c>
    </row>
    <row r="32" spans="1:7" x14ac:dyDescent="0.2">
      <c r="A32">
        <v>70</v>
      </c>
      <c r="B32">
        <v>5</v>
      </c>
      <c r="C32">
        <v>1</v>
      </c>
      <c r="D32">
        <v>9997</v>
      </c>
      <c r="E32">
        <v>14.157350276060599</v>
      </c>
      <c r="F32">
        <v>3.8136429126476599</v>
      </c>
      <c r="G32">
        <v>4.9962696046316104</v>
      </c>
    </row>
    <row r="33" spans="1:7" x14ac:dyDescent="0.2">
      <c r="A33">
        <v>70</v>
      </c>
      <c r="B33">
        <v>10</v>
      </c>
      <c r="C33">
        <v>1</v>
      </c>
      <c r="D33">
        <v>14902</v>
      </c>
      <c r="E33">
        <v>23.032893558663901</v>
      </c>
      <c r="F33">
        <v>10.3311302029188</v>
      </c>
      <c r="G33">
        <v>9.1288669339255204</v>
      </c>
    </row>
    <row r="34" spans="1:7" x14ac:dyDescent="0.2">
      <c r="A34">
        <v>70</v>
      </c>
      <c r="B34">
        <v>20</v>
      </c>
      <c r="C34">
        <v>0</v>
      </c>
      <c r="D34">
        <v>0</v>
      </c>
      <c r="E34">
        <v>43.370141073376203</v>
      </c>
      <c r="F34">
        <v>4.8045245540568704</v>
      </c>
      <c r="G34">
        <v>8.7355707935371107</v>
      </c>
    </row>
    <row r="35" spans="1:7" x14ac:dyDescent="0.2">
      <c r="A35">
        <v>70</v>
      </c>
      <c r="B35">
        <v>25</v>
      </c>
      <c r="C35">
        <v>0</v>
      </c>
      <c r="D35">
        <v>0</v>
      </c>
      <c r="E35">
        <v>48.508533346814502</v>
      </c>
      <c r="F35">
        <v>4.9239974018495198</v>
      </c>
      <c r="G35">
        <v>10.4181552637961</v>
      </c>
    </row>
    <row r="36" spans="1:7" x14ac:dyDescent="0.2">
      <c r="A36">
        <v>70</v>
      </c>
      <c r="B36">
        <v>30</v>
      </c>
      <c r="C36">
        <v>0</v>
      </c>
      <c r="D36">
        <v>0</v>
      </c>
      <c r="E36">
        <v>50.4789414134206</v>
      </c>
      <c r="F36">
        <v>5.1820630107405501</v>
      </c>
      <c r="G36">
        <v>11.072054265472399</v>
      </c>
    </row>
    <row r="37" spans="1:7" x14ac:dyDescent="0.2">
      <c r="A37">
        <v>80</v>
      </c>
      <c r="B37">
        <v>20</v>
      </c>
      <c r="C37">
        <v>0</v>
      </c>
      <c r="D37">
        <v>0</v>
      </c>
      <c r="E37">
        <v>272.40014847088003</v>
      </c>
      <c r="F37">
        <v>117.383420687734</v>
      </c>
      <c r="G37">
        <v>83.142235206489005</v>
      </c>
    </row>
    <row r="38" spans="1:7" x14ac:dyDescent="0.2">
      <c r="A38">
        <v>80</v>
      </c>
      <c r="B38">
        <v>25</v>
      </c>
      <c r="C38">
        <v>0</v>
      </c>
      <c r="D38">
        <v>0</v>
      </c>
      <c r="E38">
        <v>274.33364014623999</v>
      </c>
      <c r="F38">
        <v>119.10329850905801</v>
      </c>
      <c r="G38">
        <v>83.786348377090107</v>
      </c>
    </row>
    <row r="39" spans="1:7" x14ac:dyDescent="0.2">
      <c r="A39">
        <v>80</v>
      </c>
      <c r="B39">
        <v>30</v>
      </c>
      <c r="C39">
        <v>0</v>
      </c>
      <c r="D39">
        <v>0</v>
      </c>
      <c r="E39">
        <v>271.294457765966</v>
      </c>
      <c r="F39">
        <v>117.576736777905</v>
      </c>
      <c r="G39">
        <v>82.848509730872095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error_speed_lookahead_table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2022-03-19T16:10:23Z</dcterms:created>
  <dcterms:modified xsi:type="dcterms:W3CDTF">2022-03-19T16:15:51Z</dcterms:modified>
</cp:coreProperties>
</file>